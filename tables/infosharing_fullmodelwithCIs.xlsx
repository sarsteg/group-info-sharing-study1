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sarst\Documents\GitHub\group-info-sharing-study1\tables\"/>
    </mc:Choice>
  </mc:AlternateContent>
  <xr:revisionPtr revIDLastSave="0" documentId="8_{187686A4-C5CF-4EF2-9DD2-DB3600CB7561}" xr6:coauthVersionLast="47" xr6:coauthVersionMax="47" xr10:uidLastSave="{00000000-0000-0000-0000-000000000000}"/>
  <bookViews>
    <workbookView xWindow="1380" yWindow="0" windowWidth="17805" windowHeight="15585" activeTab="5" xr2:uid="{67C409C2-8C0E-4150-B761-BEA7ACA17FDB}"/>
  </bookViews>
  <sheets>
    <sheet name="Sheet1" sheetId="1" r:id="rId1"/>
    <sheet name="Sheet2" sheetId="2" r:id="rId2"/>
    <sheet name="Sheet3" sheetId="3" r:id="rId3"/>
    <sheet name="Sheet4" sheetId="4" r:id="rId4"/>
    <sheet name="Sheet5" sheetId="5" r:id="rId5"/>
    <sheet name="Sheet6" sheetId="6" r:id="rId6"/>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6" l="1"/>
  <c r="G6" i="6"/>
  <c r="G7" i="6"/>
  <c r="G9" i="6"/>
  <c r="G10" i="6"/>
  <c r="G11" i="6"/>
  <c r="G13" i="6"/>
  <c r="G14" i="6"/>
  <c r="G15" i="6"/>
  <c r="G16" i="6"/>
  <c r="G3" i="6"/>
  <c r="I4" i="6"/>
  <c r="I5" i="6"/>
  <c r="I6" i="6"/>
  <c r="I7" i="6"/>
  <c r="I9" i="6"/>
  <c r="I10" i="6"/>
  <c r="I11" i="6"/>
  <c r="I13" i="6"/>
  <c r="I14" i="6"/>
  <c r="I15" i="6"/>
  <c r="I16" i="6"/>
  <c r="I3" i="6"/>
  <c r="H5" i="6"/>
  <c r="H6" i="6"/>
  <c r="H7" i="6"/>
  <c r="H9" i="6"/>
  <c r="H10" i="6"/>
  <c r="H11" i="6"/>
  <c r="H13" i="6"/>
  <c r="H14" i="6"/>
  <c r="H15" i="6"/>
  <c r="H16" i="6"/>
  <c r="H3" i="6"/>
  <c r="B13" i="5"/>
  <c r="B14" i="5"/>
  <c r="B15" i="5"/>
  <c r="B12" i="5"/>
  <c r="B13" i="4"/>
  <c r="B14" i="4"/>
  <c r="B15" i="4"/>
  <c r="B12" i="4"/>
  <c r="B13" i="3"/>
  <c r="B14" i="3"/>
  <c r="B15" i="3"/>
  <c r="B12" i="3"/>
  <c r="B19" i="2"/>
  <c r="B20" i="2"/>
  <c r="B21" i="2"/>
  <c r="B18" i="2"/>
</calcChain>
</file>

<file path=xl/sharedStrings.xml><?xml version="1.0" encoding="utf-8"?>
<sst xmlns="http://schemas.openxmlformats.org/spreadsheetml/2006/main" count="169" uniqueCount="83">
  <si>
    <t>Predictor</t>
  </si>
  <si>
    <t>Estimate</t>
  </si>
  <si>
    <t>SE</t>
  </si>
  <si>
    <t>z</t>
  </si>
  <si>
    <t>p</t>
  </si>
  <si>
    <t>χ²</t>
  </si>
  <si>
    <t>df</t>
  </si>
  <si>
    <t>(Intercept)</t>
  </si>
  <si>
    <t>structure_number01</t>
  </si>
  <si>
    <t>motivation_number01</t>
  </si>
  <si>
    <t>InfoType (private)</t>
  </si>
  <si>
    <t>InfoImportance (more)</t>
  </si>
  <si>
    <t>&lt; .001</t>
  </si>
  <si>
    <t>Sex</t>
  </si>
  <si>
    <t>Need for Cognition</t>
  </si>
  <si>
    <t>structure × motivation</t>
  </si>
  <si>
    <t>structure × InfoType</t>
  </si>
  <si>
    <t>motivation × InfoType</t>
  </si>
  <si>
    <t>structure × InfoImportance</t>
  </si>
  <si>
    <t>motivation × InfoImportance</t>
  </si>
  <si>
    <t>InfoType × InfoImportance</t>
  </si>
  <si>
    <t>structure × motivation × InfoType</t>
  </si>
  <si>
    <t>structure × motivation × InfoImportance</t>
  </si>
  <si>
    <t>structure × InfoType × InfoImportance</t>
  </si>
  <si>
    <t>motivation × InfoType × InfoImportance</t>
  </si>
  <si>
    <t>structure × motivation × InfoType × InfoImportance</t>
  </si>
  <si>
    <t>Between Manipulations</t>
  </si>
  <si>
    <t>Within Manipulations</t>
  </si>
  <si>
    <t>Controls</t>
  </si>
  <si>
    <t>Interactions</t>
  </si>
  <si>
    <t>Term</t>
  </si>
  <si>
    <t>Chisq</t>
  </si>
  <si>
    <t>Df</t>
  </si>
  <si>
    <t>Pr(&gt;Chisq)</t>
  </si>
  <si>
    <t>&lt;.001</t>
  </si>
  <si>
    <t>NeedCog_Mean</t>
  </si>
  <si>
    <t>structure_number01:motivation_number01</t>
  </si>
  <si>
    <t>&lt;S3: haven_labelled&gt;</t>
  </si>
  <si>
    <t>mean_value</t>
  </si>
  <si>
    <t>&lt;dbl&gt;</t>
  </si>
  <si>
    <t>sd_value</t>
  </si>
  <si>
    <t>4 rows</t>
  </si>
  <si>
    <t xml:space="preserve">Interindividual </t>
  </si>
  <si>
    <t xml:space="preserve">Proself </t>
  </si>
  <si>
    <t xml:space="preserve">Intergroup </t>
  </si>
  <si>
    <t xml:space="preserve">Prosocial </t>
  </si>
  <si>
    <t>Proself, Interindividual</t>
  </si>
  <si>
    <t>Proself, Intergroup</t>
  </si>
  <si>
    <t>Prosocial, Interindividual</t>
  </si>
  <si>
    <t>Prosocial, Intergroup</t>
  </si>
  <si>
    <r>
      <t>A tibble:</t>
    </r>
    <r>
      <rPr>
        <sz val="8"/>
        <color rgb="FFFFFFFF"/>
        <rFont val="Lucida Sans"/>
        <family val="2"/>
      </rPr>
      <t>4 × 6</t>
    </r>
  </si>
  <si>
    <t>variable</t>
  </si>
  <si>
    <t>&lt;chr&gt;</t>
  </si>
  <si>
    <t>n</t>
  </si>
  <si>
    <t>&lt;int&gt;</t>
  </si>
  <si>
    <t>M</t>
  </si>
  <si>
    <t>SD</t>
  </si>
  <si>
    <t>Count</t>
  </si>
  <si>
    <r>
      <t>A tibble:</t>
    </r>
    <r>
      <rPr>
        <sz val="8"/>
        <color rgb="FFFFFFFF"/>
        <rFont val="Lucida Sans"/>
        <family val="2"/>
      </rPr>
      <t>4 × 4</t>
    </r>
  </si>
  <si>
    <r>
      <t>Groups:</t>
    </r>
    <r>
      <rPr>
        <sz val="8"/>
        <color rgb="FFFFFFFF"/>
        <rFont val="Lucida Sans"/>
        <family val="2"/>
      </rPr>
      <t>structure_number01 [2]</t>
    </r>
  </si>
  <si>
    <t>Wald χ²</t>
  </si>
  <si>
    <r>
      <t>IRR</t>
    </r>
    <r>
      <rPr>
        <sz val="8"/>
        <color theme="1"/>
        <rFont val="Times New Roman"/>
        <family val="1"/>
      </rPr>
      <t>  </t>
    </r>
  </si>
  <si>
    <t>Intercept</t>
  </si>
  <si>
    <t>Between Participant Variables</t>
  </si>
  <si>
    <t xml:space="preserve">     Interindividual (0) vs. Intergroup (1)</t>
  </si>
  <si>
    <t xml:space="preserve">     Proself (0) vs. Prosocial (1)</t>
  </si>
  <si>
    <t>19.78**</t>
  </si>
  <si>
    <t xml:space="preserve">     Structure * Motivation</t>
  </si>
  <si>
    <t>Within Participant Variables</t>
  </si>
  <si>
    <t xml:space="preserve">     Common (0) vs. Unique (1) </t>
  </si>
  <si>
    <t xml:space="preserve">     Low (0) vs. High (1)</t>
  </si>
  <si>
    <t xml:space="preserve">     Type * Importance</t>
  </si>
  <si>
    <t>Control Variables</t>
  </si>
  <si>
    <t xml:space="preserve">     Age</t>
  </si>
  <si>
    <t xml:space="preserve">     Sex (female = 1)</t>
  </si>
  <si>
    <t xml:space="preserve">     Need for Cognition</t>
  </si>
  <si>
    <t xml:space="preserve">     Machiavellianism</t>
  </si>
  <si>
    <r>
      <t> </t>
    </r>
    <r>
      <rPr>
        <sz val="10"/>
        <color theme="1"/>
        <rFont val="Times New Roman"/>
        <family val="1"/>
      </rPr>
      <t>Should I include a CI on this? Wasn’t sure if this was an expectation for IRR</t>
    </r>
  </si>
  <si>
    <r>
      <t> </t>
    </r>
    <r>
      <rPr>
        <sz val="10"/>
        <color theme="1"/>
        <rFont val="Times New Roman"/>
        <family val="1"/>
      </rPr>
      <t xml:space="preserve">I would, at least if you can make it work layout wise. In my experience, when people see </t>
    </r>
    <r>
      <rPr>
        <i/>
        <sz val="10"/>
        <color theme="1"/>
        <rFont val="Times New Roman"/>
        <family val="1"/>
      </rPr>
      <t>p</t>
    </r>
    <r>
      <rPr>
        <sz val="10"/>
        <color theme="1"/>
        <rFont val="Times New Roman"/>
        <family val="1"/>
      </rPr>
      <t xml:space="preserve"> values, they think in terms of “how close” to sig something was. When they see CIs, they think more in terms of how wide the range is. Now, </t>
    </r>
    <r>
      <rPr>
        <i/>
        <sz val="10"/>
        <color theme="1"/>
        <rFont val="Times New Roman"/>
        <family val="1"/>
      </rPr>
      <t>they should</t>
    </r>
    <r>
      <rPr>
        <sz val="10"/>
        <color theme="1"/>
        <rFont val="Times New Roman"/>
        <family val="1"/>
      </rPr>
      <t xml:space="preserve"> be able to get that from SEs, but it seems like they often don’t (maybe they don’t want to do the extra step in their head?). IRR isn’t really any of those, it’s more about how steep the regression coefficient looks on a more familiar scale.</t>
    </r>
  </si>
  <si>
    <t>Lower_log = Estimate − 1.96 × SE</t>
  </si>
  <si>
    <t>Upper_log = Estimate + 1.96 × SE</t>
  </si>
  <si>
    <t>exp(Lower_log)</t>
  </si>
  <si>
    <t>exp(Upper_log)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</si>
</sst>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b/>
      <sz val="11"/>
      <color theme="1"/>
      <name val="Aptos Narrow"/>
      <family val="2"/>
      <scheme val="minor"/>
    </font>
    <font>
      <b/>
      <sz val="6"/>
      <color rgb="FFFFFFFF"/>
      <name val="Lucida Sans"/>
      <family val="2"/>
    </font>
    <font>
      <sz val="6"/>
      <color rgb="FFFFFFFF"/>
      <name val="Lucida Sans"/>
      <family val="2"/>
    </font>
    <font>
      <sz val="6"/>
      <color rgb="FF999999"/>
      <name val="Lucida Sans"/>
      <family val="2"/>
    </font>
    <font>
      <sz val="12"/>
      <color theme="1"/>
      <name val="Times New Roman"/>
      <family val="1"/>
    </font>
    <font>
      <sz val="8"/>
      <color rgb="FFFFFFFF"/>
      <name val="Lucida Sans"/>
      <family val="2"/>
    </font>
    <font>
      <sz val="8"/>
      <color rgb="FF999999"/>
      <name val="Lucida Sans"/>
      <family val="2"/>
    </font>
    <font>
      <i/>
      <sz val="12"/>
      <color theme="1"/>
      <name val="Times New Roman"/>
      <family val="1"/>
    </font>
    <font>
      <sz val="8"/>
      <color theme="1"/>
      <name val="Times New Roman"/>
      <family val="1"/>
    </font>
    <font>
      <sz val="12"/>
      <color rgb="FF000000"/>
      <name val="Times New Roman"/>
      <family val="1"/>
    </font>
    <font>
      <sz val="10"/>
      <color theme="1"/>
      <name val="Times New Roman"/>
      <family val="1"/>
    </font>
    <font>
      <i/>
      <sz val="10"/>
      <color theme="1"/>
      <name val="Times New Roman"/>
      <family val="1"/>
    </font>
  </fonts>
  <fills count="3">
    <fill>
      <patternFill patternType="none"/>
    </fill>
    <fill>
      <patternFill patternType="gray125"/>
    </fill>
    <fill>
      <patternFill patternType="solid">
        <fgColor rgb="FF002240"/>
        <bgColor indexed="64"/>
      </patternFill>
    </fill>
  </fills>
  <borders count="3">
    <border>
      <left/>
      <right/>
      <top/>
      <bottom/>
      <diagonal/>
    </border>
    <border>
      <left style="medium">
        <color rgb="FFE9E9E9"/>
      </left>
      <right style="medium">
        <color rgb="FFE9E9E9"/>
      </right>
      <top style="medium">
        <color rgb="FFE9E9E9"/>
      </top>
      <bottom style="medium">
        <color rgb="FFE9E9E9"/>
      </bottom>
      <diagonal/>
    </border>
    <border>
      <left/>
      <right/>
      <top/>
      <bottom style="medium">
        <color indexed="64"/>
      </bottom>
      <diagonal/>
    </border>
  </borders>
  <cellStyleXfs count="1">
    <xf numFmtId="0" fontId="0" fillId="0" borderId="0"/>
  </cellStyleXfs>
  <cellXfs count="26">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2" fontId="0" fillId="0" borderId="0" xfId="0" applyNumberFormat="1" applyAlignment="1">
      <alignment vertical="center" wrapText="1"/>
    </xf>
    <xf numFmtId="0" fontId="2" fillId="2" borderId="0" xfId="0" applyFont="1" applyFill="1" applyAlignment="1">
      <alignment horizontal="right" vertical="center"/>
    </xf>
    <xf numFmtId="0" fontId="3" fillId="2" borderId="0" xfId="0" applyFont="1" applyFill="1" applyAlignment="1">
      <alignment horizontal="right" vertical="center"/>
    </xf>
    <xf numFmtId="0" fontId="4" fillId="0" borderId="0" xfId="0" applyFont="1" applyAlignment="1">
      <alignment vertical="center"/>
    </xf>
    <xf numFmtId="0" fontId="5" fillId="0" borderId="0" xfId="0" applyFont="1"/>
    <xf numFmtId="0" fontId="5" fillId="0" borderId="0" xfId="0" applyFont="1" applyAlignment="1">
      <alignment horizontal="left" vertical="center" wrapText="1" indent="2"/>
    </xf>
    <xf numFmtId="0" fontId="7" fillId="0" borderId="1" xfId="0" applyFont="1" applyBorder="1" applyAlignment="1">
      <alignment vertical="center" wrapText="1"/>
    </xf>
    <xf numFmtId="0" fontId="3" fillId="2" borderId="0" xfId="0" applyFont="1" applyFill="1" applyAlignment="1">
      <alignment vertical="center"/>
    </xf>
    <xf numFmtId="0" fontId="2" fillId="2" borderId="0" xfId="0" applyFont="1" applyFill="1" applyAlignment="1">
      <alignment horizontal="left" vertical="center"/>
    </xf>
    <xf numFmtId="0" fontId="3" fillId="2" borderId="0" xfId="0" applyFont="1" applyFill="1" applyAlignment="1">
      <alignment horizontal="left" vertical="center"/>
    </xf>
    <xf numFmtId="0" fontId="5" fillId="0" borderId="0" xfId="0" applyFont="1" applyAlignment="1">
      <alignment vertical="center" wrapText="1"/>
    </xf>
    <xf numFmtId="0" fontId="5" fillId="0" borderId="0" xfId="0" applyFont="1" applyAlignment="1">
      <alignment horizontal="center" vertical="center" wrapText="1"/>
    </xf>
    <xf numFmtId="0" fontId="10" fillId="0" borderId="0" xfId="0" applyFont="1" applyAlignment="1">
      <alignment horizontal="center" vertical="center" wrapText="1"/>
    </xf>
    <xf numFmtId="0" fontId="9" fillId="0" borderId="0" xfId="0" applyFont="1" applyAlignment="1">
      <alignment vertical="center"/>
    </xf>
    <xf numFmtId="2" fontId="5" fillId="0" borderId="0" xfId="0" applyNumberFormat="1" applyFont="1" applyAlignment="1">
      <alignment vertical="center" wrapText="1"/>
    </xf>
    <xf numFmtId="2" fontId="0" fillId="0" borderId="0" xfId="0" applyNumberFormat="1"/>
    <xf numFmtId="0" fontId="2" fillId="2" borderId="0" xfId="0" applyFont="1" applyFill="1" applyAlignment="1">
      <alignment horizontal="center" vertical="center"/>
    </xf>
    <xf numFmtId="0" fontId="5" fillId="0" borderId="0" xfId="0" applyFont="1" applyAlignment="1">
      <alignment vertical="center" wrapText="1"/>
    </xf>
    <xf numFmtId="0" fontId="5" fillId="0" borderId="2" xfId="0" applyFont="1" applyBorder="1" applyAlignment="1">
      <alignment vertical="center" wrapText="1"/>
    </xf>
    <xf numFmtId="0" fontId="5" fillId="0" borderId="0" xfId="0" applyFont="1" applyAlignment="1">
      <alignment horizontal="center" vertical="center" wrapText="1"/>
    </xf>
    <xf numFmtId="0" fontId="5" fillId="0" borderId="2" xfId="0" applyFont="1" applyBorder="1" applyAlignment="1">
      <alignment horizontal="center" vertical="center" wrapText="1"/>
    </xf>
    <xf numFmtId="0" fontId="8" fillId="0" borderId="0" xfId="0" applyFont="1" applyAlignment="1">
      <alignment horizontal="center" vertical="center" wrapText="1"/>
    </xf>
    <xf numFmtId="0" fontId="8" fillId="0" borderId="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985D6-23AC-48DB-AAC4-E115C5A6B53D}">
  <dimension ref="A1:G23"/>
  <sheetViews>
    <sheetView workbookViewId="0">
      <selection activeCell="B2" sqref="B2:F23"/>
    </sheetView>
  </sheetViews>
  <sheetFormatPr defaultRowHeight="14.25" x14ac:dyDescent="0.45"/>
  <cols>
    <col min="1" max="1" width="38.73046875" customWidth="1"/>
  </cols>
  <sheetData>
    <row r="1" spans="1:7" x14ac:dyDescent="0.45">
      <c r="A1" s="1" t="s">
        <v>0</v>
      </c>
      <c r="B1" s="1" t="s">
        <v>1</v>
      </c>
      <c r="C1" s="1" t="s">
        <v>2</v>
      </c>
      <c r="D1" s="1" t="s">
        <v>3</v>
      </c>
      <c r="E1" s="1" t="s">
        <v>5</v>
      </c>
      <c r="F1" s="1" t="s">
        <v>4</v>
      </c>
      <c r="G1" s="1" t="s">
        <v>6</v>
      </c>
    </row>
    <row r="2" spans="1:7" x14ac:dyDescent="0.45">
      <c r="A2" s="2" t="s">
        <v>7</v>
      </c>
      <c r="B2" s="2">
        <v>0.18</v>
      </c>
      <c r="C2" s="2">
        <v>0.21</v>
      </c>
      <c r="D2" s="2">
        <v>0.85</v>
      </c>
      <c r="E2" s="2">
        <v>0.72</v>
      </c>
      <c r="F2" s="3">
        <v>0.39500000000000002</v>
      </c>
      <c r="G2" s="2">
        <v>1</v>
      </c>
    </row>
    <row r="3" spans="1:7" x14ac:dyDescent="0.45">
      <c r="A3" s="2" t="s">
        <v>26</v>
      </c>
      <c r="B3" s="2"/>
      <c r="C3" s="2"/>
      <c r="D3" s="2"/>
      <c r="E3" s="2"/>
      <c r="F3" s="3"/>
      <c r="G3" s="2"/>
    </row>
    <row r="4" spans="1:7" x14ac:dyDescent="0.45">
      <c r="A4" s="2" t="s">
        <v>8</v>
      </c>
      <c r="B4" s="2">
        <v>-0.04</v>
      </c>
      <c r="C4" s="2">
        <v>0.16</v>
      </c>
      <c r="D4" s="2">
        <v>-0.22</v>
      </c>
      <c r="E4" s="2">
        <v>0.05</v>
      </c>
      <c r="F4" s="3">
        <v>0.82399999999999995</v>
      </c>
      <c r="G4" s="2">
        <v>1</v>
      </c>
    </row>
    <row r="5" spans="1:7" x14ac:dyDescent="0.45">
      <c r="A5" s="2" t="s">
        <v>9</v>
      </c>
      <c r="B5" s="2">
        <v>-0.02</v>
      </c>
      <c r="C5" s="2">
        <v>0.16</v>
      </c>
      <c r="D5" s="2">
        <v>-0.1</v>
      </c>
      <c r="E5" s="2">
        <v>0.01</v>
      </c>
      <c r="F5" s="3">
        <v>0.91700000000000004</v>
      </c>
      <c r="G5" s="2">
        <v>1</v>
      </c>
    </row>
    <row r="6" spans="1:7" x14ac:dyDescent="0.45">
      <c r="A6" s="2" t="s">
        <v>27</v>
      </c>
      <c r="B6" s="2"/>
      <c r="C6" s="2"/>
      <c r="D6" s="2"/>
      <c r="E6" s="2"/>
      <c r="F6" s="3"/>
      <c r="G6" s="2"/>
    </row>
    <row r="7" spans="1:7" x14ac:dyDescent="0.45">
      <c r="A7" s="2" t="s">
        <v>10</v>
      </c>
      <c r="B7" s="2">
        <v>-0.28999999999999998</v>
      </c>
      <c r="C7" s="2">
        <v>0.17</v>
      </c>
      <c r="D7" s="2">
        <v>-1.69</v>
      </c>
      <c r="E7" s="2">
        <v>2.85</v>
      </c>
      <c r="F7" s="3">
        <v>9.0999999999999998E-2</v>
      </c>
      <c r="G7" s="2">
        <v>1</v>
      </c>
    </row>
    <row r="8" spans="1:7" x14ac:dyDescent="0.45">
      <c r="A8" s="2" t="s">
        <v>11</v>
      </c>
      <c r="B8" s="2">
        <v>-0.85</v>
      </c>
      <c r="C8" s="2">
        <v>0.21</v>
      </c>
      <c r="D8" s="2">
        <v>-3.99</v>
      </c>
      <c r="E8" s="2">
        <v>15.91</v>
      </c>
      <c r="F8" s="2" t="s">
        <v>12</v>
      </c>
      <c r="G8" s="2">
        <v>1</v>
      </c>
    </row>
    <row r="9" spans="1:7" x14ac:dyDescent="0.45">
      <c r="A9" s="2" t="s">
        <v>28</v>
      </c>
      <c r="B9" s="2"/>
      <c r="C9" s="2"/>
      <c r="D9" s="2"/>
      <c r="E9" s="2"/>
      <c r="F9" s="2"/>
      <c r="G9" s="2"/>
    </row>
    <row r="10" spans="1:7" x14ac:dyDescent="0.45">
      <c r="A10" s="2" t="s">
        <v>13</v>
      </c>
      <c r="B10" s="2">
        <v>-0.2</v>
      </c>
      <c r="C10" s="2">
        <v>7.0000000000000007E-2</v>
      </c>
      <c r="D10" s="2">
        <v>-2.93</v>
      </c>
      <c r="E10" s="2">
        <v>8.56</v>
      </c>
      <c r="F10" s="3">
        <v>3.0000000000000001E-3</v>
      </c>
      <c r="G10" s="2">
        <v>1</v>
      </c>
    </row>
    <row r="11" spans="1:7" x14ac:dyDescent="0.45">
      <c r="A11" s="2" t="s">
        <v>14</v>
      </c>
      <c r="B11" s="2">
        <v>0.21</v>
      </c>
      <c r="C11" s="2">
        <v>0.05</v>
      </c>
      <c r="D11" s="2">
        <v>4.1100000000000003</v>
      </c>
      <c r="E11" s="2">
        <v>16.87</v>
      </c>
      <c r="F11" s="2" t="s">
        <v>12</v>
      </c>
      <c r="G11" s="2">
        <v>1</v>
      </c>
    </row>
    <row r="12" spans="1:7" x14ac:dyDescent="0.45">
      <c r="A12" s="2" t="s">
        <v>29</v>
      </c>
      <c r="B12" s="2"/>
      <c r="C12" s="2"/>
      <c r="D12" s="2"/>
      <c r="E12" s="2"/>
      <c r="F12" s="2"/>
      <c r="G12" s="2"/>
    </row>
    <row r="13" spans="1:7" x14ac:dyDescent="0.45">
      <c r="A13" s="2" t="s">
        <v>15</v>
      </c>
      <c r="B13" s="2">
        <v>0.25</v>
      </c>
      <c r="C13" s="2">
        <v>0.22</v>
      </c>
      <c r="D13" s="2">
        <v>1.1299999999999999</v>
      </c>
      <c r="E13" s="2">
        <v>1.27</v>
      </c>
      <c r="F13" s="3">
        <v>0.26</v>
      </c>
      <c r="G13" s="2">
        <v>1</v>
      </c>
    </row>
    <row r="14" spans="1:7" x14ac:dyDescent="0.45">
      <c r="A14" s="2" t="s">
        <v>16</v>
      </c>
      <c r="B14" s="2">
        <v>0.2</v>
      </c>
      <c r="C14" s="2">
        <v>0.24</v>
      </c>
      <c r="D14" s="2">
        <v>0.81</v>
      </c>
      <c r="E14" s="2">
        <v>0.66</v>
      </c>
      <c r="F14" s="3">
        <v>0.41699999999999998</v>
      </c>
      <c r="G14" s="2">
        <v>1</v>
      </c>
    </row>
    <row r="15" spans="1:7" x14ac:dyDescent="0.45">
      <c r="A15" s="2" t="s">
        <v>17</v>
      </c>
      <c r="B15" s="2">
        <v>0.31</v>
      </c>
      <c r="C15" s="2">
        <v>0.23</v>
      </c>
      <c r="D15" s="2">
        <v>1.35</v>
      </c>
      <c r="E15" s="2">
        <v>1.81</v>
      </c>
      <c r="F15" s="3">
        <v>0.17799999999999999</v>
      </c>
      <c r="G15" s="2">
        <v>1</v>
      </c>
    </row>
    <row r="16" spans="1:7" x14ac:dyDescent="0.45">
      <c r="A16" s="2" t="s">
        <v>18</v>
      </c>
      <c r="B16" s="2">
        <v>0.65</v>
      </c>
      <c r="C16" s="2">
        <v>0.28000000000000003</v>
      </c>
      <c r="D16" s="2">
        <v>2.34</v>
      </c>
      <c r="E16" s="2">
        <v>5.48</v>
      </c>
      <c r="F16" s="3">
        <v>1.9E-2</v>
      </c>
      <c r="G16" s="2">
        <v>1</v>
      </c>
    </row>
    <row r="17" spans="1:7" x14ac:dyDescent="0.45">
      <c r="A17" s="2" t="s">
        <v>19</v>
      </c>
      <c r="B17" s="2">
        <v>0.96</v>
      </c>
      <c r="C17" s="2">
        <v>0.26</v>
      </c>
      <c r="D17" s="2">
        <v>3.66</v>
      </c>
      <c r="E17" s="2">
        <v>13.42</v>
      </c>
      <c r="F17" s="2" t="s">
        <v>12</v>
      </c>
      <c r="G17" s="2">
        <v>1</v>
      </c>
    </row>
    <row r="18" spans="1:7" x14ac:dyDescent="0.45">
      <c r="A18" s="2" t="s">
        <v>20</v>
      </c>
      <c r="B18" s="2">
        <v>0.57999999999999996</v>
      </c>
      <c r="C18" s="2">
        <v>0.28999999999999998</v>
      </c>
      <c r="D18" s="2">
        <v>1.99</v>
      </c>
      <c r="E18" s="2">
        <v>3.95</v>
      </c>
      <c r="F18" s="3">
        <v>4.7E-2</v>
      </c>
      <c r="G18" s="2">
        <v>1</v>
      </c>
    </row>
    <row r="19" spans="1:7" x14ac:dyDescent="0.45">
      <c r="A19" s="2" t="s">
        <v>21</v>
      </c>
      <c r="B19" s="2">
        <v>-0.46</v>
      </c>
      <c r="C19" s="2">
        <v>0.33</v>
      </c>
      <c r="D19" s="2">
        <v>-1.41</v>
      </c>
      <c r="E19" s="2">
        <v>1.98</v>
      </c>
      <c r="F19" s="3">
        <v>0.16</v>
      </c>
      <c r="G19" s="2">
        <v>1</v>
      </c>
    </row>
    <row r="20" spans="1:7" x14ac:dyDescent="0.45">
      <c r="A20" s="2" t="s">
        <v>22</v>
      </c>
      <c r="B20" s="2">
        <v>-1.31</v>
      </c>
      <c r="C20" s="2">
        <v>0.36</v>
      </c>
      <c r="D20" s="2">
        <v>-3.65</v>
      </c>
      <c r="E20" s="2">
        <v>13.32</v>
      </c>
      <c r="F20" s="2" t="s">
        <v>12</v>
      </c>
      <c r="G20" s="2">
        <v>1</v>
      </c>
    </row>
    <row r="21" spans="1:7" x14ac:dyDescent="0.45">
      <c r="A21" s="2" t="s">
        <v>23</v>
      </c>
      <c r="B21" s="2">
        <v>-1.1200000000000001</v>
      </c>
      <c r="C21" s="2">
        <v>0.41</v>
      </c>
      <c r="D21" s="2">
        <v>-2.7</v>
      </c>
      <c r="E21" s="2">
        <v>7.28</v>
      </c>
      <c r="F21" s="3">
        <v>7.0000000000000001E-3</v>
      </c>
      <c r="G21" s="2">
        <v>1</v>
      </c>
    </row>
    <row r="22" spans="1:7" x14ac:dyDescent="0.45">
      <c r="A22" s="2" t="s">
        <v>24</v>
      </c>
      <c r="B22" s="2">
        <v>-0.72</v>
      </c>
      <c r="C22" s="2">
        <v>0.36</v>
      </c>
      <c r="D22" s="2">
        <v>-1.98</v>
      </c>
      <c r="E22" s="2">
        <v>3.92</v>
      </c>
      <c r="F22" s="3">
        <v>4.8000000000000001E-2</v>
      </c>
      <c r="G22" s="2">
        <v>1</v>
      </c>
    </row>
    <row r="23" spans="1:7" ht="28.5" x14ac:dyDescent="0.45">
      <c r="A23" s="2" t="s">
        <v>25</v>
      </c>
      <c r="B23" s="2">
        <v>1.34</v>
      </c>
      <c r="C23" s="2">
        <v>0.53</v>
      </c>
      <c r="D23" s="2">
        <v>2.52</v>
      </c>
      <c r="E23" s="2">
        <v>6.34</v>
      </c>
      <c r="F23" s="3">
        <v>1.2E-2</v>
      </c>
      <c r="G23" s="2">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33FFF-57EB-4FEF-982A-DD3D44660ADD}">
  <dimension ref="A1:F21"/>
  <sheetViews>
    <sheetView topLeftCell="A9" zoomScale="145" zoomScaleNormal="145" workbookViewId="0">
      <selection activeCell="B18" sqref="B18:B21"/>
    </sheetView>
  </sheetViews>
  <sheetFormatPr defaultRowHeight="14.25" x14ac:dyDescent="0.45"/>
  <cols>
    <col min="1" max="1" width="29.46484375" customWidth="1"/>
  </cols>
  <sheetData>
    <row r="1" spans="1:4" ht="28.5" x14ac:dyDescent="0.45">
      <c r="A1" s="1" t="s">
        <v>30</v>
      </c>
      <c r="B1" s="1" t="s">
        <v>31</v>
      </c>
      <c r="C1" s="1" t="s">
        <v>32</v>
      </c>
      <c r="D1" s="1" t="s">
        <v>33</v>
      </c>
    </row>
    <row r="2" spans="1:4" x14ac:dyDescent="0.45">
      <c r="A2" s="2" t="s">
        <v>7</v>
      </c>
      <c r="B2" s="2">
        <v>3.66</v>
      </c>
      <c r="C2" s="2">
        <v>1</v>
      </c>
      <c r="D2" s="2">
        <v>0.06</v>
      </c>
    </row>
    <row r="3" spans="1:4" x14ac:dyDescent="0.45">
      <c r="A3" s="2" t="s">
        <v>8</v>
      </c>
      <c r="B3" s="2">
        <v>6.91</v>
      </c>
      <c r="C3" s="2">
        <v>1</v>
      </c>
      <c r="D3" s="2">
        <v>0.01</v>
      </c>
    </row>
    <row r="4" spans="1:4" x14ac:dyDescent="0.45">
      <c r="A4" s="2" t="s">
        <v>9</v>
      </c>
      <c r="B4" s="2">
        <v>19.62</v>
      </c>
      <c r="C4" s="2">
        <v>1</v>
      </c>
      <c r="D4" s="2" t="s">
        <v>34</v>
      </c>
    </row>
    <row r="5" spans="1:4" x14ac:dyDescent="0.45">
      <c r="A5" s="2" t="s">
        <v>13</v>
      </c>
      <c r="B5" s="2">
        <v>9.35</v>
      </c>
      <c r="C5" s="2">
        <v>1</v>
      </c>
      <c r="D5" s="2">
        <v>0</v>
      </c>
    </row>
    <row r="6" spans="1:4" x14ac:dyDescent="0.45">
      <c r="A6" s="2" t="s">
        <v>35</v>
      </c>
      <c r="B6" s="2">
        <v>7.19</v>
      </c>
      <c r="C6" s="2">
        <v>1</v>
      </c>
      <c r="D6" s="2">
        <v>0.01</v>
      </c>
    </row>
    <row r="7" spans="1:4" ht="28.5" x14ac:dyDescent="0.45">
      <c r="A7" s="2" t="s">
        <v>36</v>
      </c>
      <c r="B7" s="2">
        <v>12.1</v>
      </c>
      <c r="C7" s="2">
        <v>1</v>
      </c>
      <c r="D7" s="2" t="s">
        <v>34</v>
      </c>
    </row>
    <row r="10" spans="1:4" x14ac:dyDescent="0.45">
      <c r="A10" s="4" t="s">
        <v>8</v>
      </c>
      <c r="B10" s="4" t="s">
        <v>9</v>
      </c>
      <c r="C10" s="4" t="s">
        <v>38</v>
      </c>
      <c r="D10" s="4" t="s">
        <v>40</v>
      </c>
    </row>
    <row r="11" spans="1:4" x14ac:dyDescent="0.45">
      <c r="A11" s="5" t="s">
        <v>37</v>
      </c>
      <c r="B11" s="5" t="s">
        <v>37</v>
      </c>
      <c r="C11" s="5" t="s">
        <v>39</v>
      </c>
      <c r="D11" s="5" t="s">
        <v>39</v>
      </c>
    </row>
    <row r="16" spans="1:4" x14ac:dyDescent="0.45">
      <c r="A16" s="6" t="s">
        <v>41</v>
      </c>
    </row>
    <row r="18" spans="1:6" ht="15.4" x14ac:dyDescent="0.45">
      <c r="A18" s="8" t="s">
        <v>46</v>
      </c>
      <c r="B18" t="str">
        <f>ROUND(E18,2)&amp;" ("&amp;ROUND(F18,2)&amp;")"</f>
        <v>0.92 (1)</v>
      </c>
      <c r="C18" s="7" t="s">
        <v>42</v>
      </c>
      <c r="D18" s="7" t="s">
        <v>43</v>
      </c>
      <c r="E18" s="5">
        <v>0.92</v>
      </c>
      <c r="F18" s="5">
        <v>0.99666109999999997</v>
      </c>
    </row>
    <row r="19" spans="1:6" ht="15.4" x14ac:dyDescent="0.45">
      <c r="A19" s="8" t="s">
        <v>47</v>
      </c>
      <c r="B19" t="str">
        <f>ROUND(E19,2)&amp;" ("&amp;ROUND(F19,2)&amp;")"</f>
        <v>1.63 (1.35)</v>
      </c>
      <c r="C19" s="7" t="s">
        <v>44</v>
      </c>
      <c r="D19" s="7" t="s">
        <v>43</v>
      </c>
      <c r="E19" s="5">
        <v>1.625</v>
      </c>
      <c r="F19" s="5">
        <v>1.3452816000000001</v>
      </c>
    </row>
    <row r="20" spans="1:6" ht="15.4" x14ac:dyDescent="0.45">
      <c r="A20" s="8" t="s">
        <v>48</v>
      </c>
      <c r="B20" t="str">
        <f>ROUND(E20,2)&amp;" ("&amp;ROUND(F20,2)&amp;")"</f>
        <v>2.25 (0.97)</v>
      </c>
      <c r="C20" s="7" t="s">
        <v>42</v>
      </c>
      <c r="D20" s="7" t="s">
        <v>45</v>
      </c>
      <c r="E20" s="5">
        <v>2.25</v>
      </c>
      <c r="F20" s="5">
        <v>0.96704970000000001</v>
      </c>
    </row>
    <row r="21" spans="1:6" ht="15.4" x14ac:dyDescent="0.45">
      <c r="A21" s="8" t="s">
        <v>49</v>
      </c>
      <c r="B21" t="str">
        <f>ROUND(E21,2)&amp;" ("&amp;ROUND(F21,2)&amp;")"</f>
        <v>1.37 (1.15)</v>
      </c>
      <c r="C21" s="7" t="s">
        <v>44</v>
      </c>
      <c r="D21" s="7" t="s">
        <v>45</v>
      </c>
      <c r="E21" s="5">
        <v>1.3703700000000001</v>
      </c>
      <c r="F21" s="5">
        <v>1.1485156999999999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01E3D-5D36-4307-9AD4-9BA07C7331E5}">
  <dimension ref="A1:G15"/>
  <sheetViews>
    <sheetView topLeftCell="A2" zoomScale="130" zoomScaleNormal="130" workbookViewId="0">
      <selection activeCell="B12" sqref="B12:B15"/>
    </sheetView>
  </sheetViews>
  <sheetFormatPr defaultRowHeight="14.25" x14ac:dyDescent="0.45"/>
  <cols>
    <col min="1" max="1" width="27.796875" customWidth="1"/>
    <col min="2" max="3" width="14" customWidth="1"/>
  </cols>
  <sheetData>
    <row r="1" spans="1:7" ht="14.65" thickBot="1" x14ac:dyDescent="0.5">
      <c r="A1" s="9" t="s">
        <v>50</v>
      </c>
    </row>
    <row r="2" spans="1:7" x14ac:dyDescent="0.45">
      <c r="A2" s="10"/>
    </row>
    <row r="3" spans="1:7" x14ac:dyDescent="0.45">
      <c r="A3" s="11" t="s">
        <v>51</v>
      </c>
      <c r="B3" s="4" t="s">
        <v>8</v>
      </c>
      <c r="C3" s="4" t="s">
        <v>9</v>
      </c>
      <c r="D3" s="4" t="s">
        <v>53</v>
      </c>
      <c r="E3" s="4" t="s">
        <v>55</v>
      </c>
      <c r="F3" s="4" t="s">
        <v>56</v>
      </c>
    </row>
    <row r="4" spans="1:7" x14ac:dyDescent="0.45">
      <c r="A4" s="12" t="s">
        <v>52</v>
      </c>
      <c r="B4" s="5" t="s">
        <v>37</v>
      </c>
      <c r="C4" s="5" t="s">
        <v>37</v>
      </c>
      <c r="D4" s="5" t="s">
        <v>54</v>
      </c>
      <c r="E4" s="5" t="s">
        <v>39</v>
      </c>
      <c r="F4" s="5" t="s">
        <v>39</v>
      </c>
    </row>
    <row r="5" spans="1:7" x14ac:dyDescent="0.45">
      <c r="A5" s="12" t="s">
        <v>57</v>
      </c>
    </row>
    <row r="6" spans="1:7" x14ac:dyDescent="0.45">
      <c r="A6" s="12" t="s">
        <v>57</v>
      </c>
    </row>
    <row r="7" spans="1:7" x14ac:dyDescent="0.45">
      <c r="A7" s="12" t="s">
        <v>57</v>
      </c>
    </row>
    <row r="8" spans="1:7" x14ac:dyDescent="0.45">
      <c r="A8" s="12" t="s">
        <v>57</v>
      </c>
    </row>
    <row r="9" spans="1:7" x14ac:dyDescent="0.45">
      <c r="A9" s="6" t="s">
        <v>41</v>
      </c>
    </row>
    <row r="12" spans="1:7" ht="15.4" x14ac:dyDescent="0.45">
      <c r="A12" s="8" t="s">
        <v>46</v>
      </c>
      <c r="B12" t="str">
        <f>ROUND(F12, 2)&amp; " ("&amp;ROUND(G12, 2)&amp;")"</f>
        <v>1.24 (1.09)</v>
      </c>
      <c r="C12" s="7" t="s">
        <v>42</v>
      </c>
      <c r="D12" s="7" t="s">
        <v>43</v>
      </c>
      <c r="E12" s="5">
        <v>25</v>
      </c>
      <c r="F12" s="5">
        <v>1.24</v>
      </c>
      <c r="G12" s="5">
        <v>1.0908712</v>
      </c>
    </row>
    <row r="13" spans="1:7" ht="15.4" x14ac:dyDescent="0.45">
      <c r="A13" s="8" t="s">
        <v>47</v>
      </c>
      <c r="B13" t="str">
        <f>ROUND(F13, 2)&amp; " ("&amp;ROUND(G13, 2)&amp;")"</f>
        <v>0.88 (0.95)</v>
      </c>
      <c r="C13" s="7" t="s">
        <v>44</v>
      </c>
      <c r="D13" s="7" t="s">
        <v>43</v>
      </c>
      <c r="E13" s="5">
        <v>24</v>
      </c>
      <c r="F13" s="5">
        <v>0.875</v>
      </c>
      <c r="G13" s="5">
        <v>0.94696309999999995</v>
      </c>
    </row>
    <row r="14" spans="1:7" ht="15.4" x14ac:dyDescent="0.45">
      <c r="A14" s="8" t="s">
        <v>48</v>
      </c>
      <c r="B14" t="str">
        <f>ROUND(F14, 2)&amp; " ("&amp;ROUND(G14, 2)&amp;")"</f>
        <v>2 (1.19)</v>
      </c>
      <c r="C14" s="7" t="s">
        <v>42</v>
      </c>
      <c r="D14" s="7" t="s">
        <v>45</v>
      </c>
      <c r="E14" s="5">
        <v>28</v>
      </c>
      <c r="F14" s="5">
        <v>2</v>
      </c>
      <c r="G14" s="5">
        <v>1.186342</v>
      </c>
    </row>
    <row r="15" spans="1:7" ht="15.4" x14ac:dyDescent="0.45">
      <c r="A15" s="8" t="s">
        <v>49</v>
      </c>
      <c r="B15" t="str">
        <f>ROUND(F15, 2)&amp; " ("&amp;ROUND(G15, 2)&amp;")"</f>
        <v>1.19 (1.08)</v>
      </c>
      <c r="C15" s="7" t="s">
        <v>44</v>
      </c>
      <c r="D15" s="7" t="s">
        <v>45</v>
      </c>
      <c r="E15" s="5">
        <v>27</v>
      </c>
      <c r="F15" s="5">
        <v>1.1851849999999999</v>
      </c>
      <c r="G15" s="5">
        <v>1.0754976000000001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510ED-3924-46F0-AE22-50AE38EF7880}">
  <dimension ref="A1:G15"/>
  <sheetViews>
    <sheetView topLeftCell="A3" zoomScale="130" zoomScaleNormal="130" workbookViewId="0">
      <selection activeCell="B12" sqref="B12:B15"/>
    </sheetView>
  </sheetViews>
  <sheetFormatPr defaultRowHeight="14.25" x14ac:dyDescent="0.45"/>
  <cols>
    <col min="1" max="1" width="32.33203125" customWidth="1"/>
    <col min="2" max="2" width="12.9296875" customWidth="1"/>
  </cols>
  <sheetData>
    <row r="1" spans="1:7" ht="14.65" thickBot="1" x14ac:dyDescent="0.5">
      <c r="A1" s="9" t="s">
        <v>58</v>
      </c>
    </row>
    <row r="2" spans="1:7" ht="14.65" thickBot="1" x14ac:dyDescent="0.5">
      <c r="A2" s="9" t="s">
        <v>59</v>
      </c>
    </row>
    <row r="3" spans="1:7" x14ac:dyDescent="0.45">
      <c r="A3" s="10"/>
    </row>
    <row r="4" spans="1:7" x14ac:dyDescent="0.45">
      <c r="A4" s="4" t="s">
        <v>8</v>
      </c>
      <c r="B4" s="4" t="s">
        <v>9</v>
      </c>
      <c r="C4" s="4" t="s">
        <v>38</v>
      </c>
      <c r="D4" s="4" t="s">
        <v>40</v>
      </c>
      <c r="E4" s="19"/>
    </row>
    <row r="5" spans="1:7" x14ac:dyDescent="0.45">
      <c r="A5" s="5" t="s">
        <v>37</v>
      </c>
      <c r="B5" s="5" t="s">
        <v>37</v>
      </c>
      <c r="C5" s="5" t="s">
        <v>39</v>
      </c>
      <c r="D5" s="5" t="s">
        <v>39</v>
      </c>
      <c r="E5" s="19"/>
    </row>
    <row r="10" spans="1:7" x14ac:dyDescent="0.45">
      <c r="A10" s="6" t="s">
        <v>41</v>
      </c>
    </row>
    <row r="12" spans="1:7" ht="15.4" x14ac:dyDescent="0.45">
      <c r="A12" s="8" t="s">
        <v>46</v>
      </c>
      <c r="B12" t="str">
        <f>ROUND(E12, 2)&amp;" ("&amp;ROUND(F12, 2)&amp;")"</f>
        <v>2.16 (0.94)</v>
      </c>
      <c r="C12" s="7" t="s">
        <v>42</v>
      </c>
      <c r="D12" s="7" t="s">
        <v>43</v>
      </c>
      <c r="E12" s="5">
        <v>2.16</v>
      </c>
      <c r="F12" s="5">
        <v>0.94339810000000002</v>
      </c>
      <c r="G12" s="10"/>
    </row>
    <row r="13" spans="1:7" ht="15.4" x14ac:dyDescent="0.45">
      <c r="A13" s="8" t="s">
        <v>47</v>
      </c>
      <c r="B13" t="str">
        <f>ROUND(E13, 2)&amp;" ("&amp;ROUND(F13, 2)&amp;")"</f>
        <v>2 (1.18)</v>
      </c>
      <c r="C13" s="7" t="s">
        <v>44</v>
      </c>
      <c r="D13" s="7" t="s">
        <v>43</v>
      </c>
      <c r="E13" s="5">
        <v>2</v>
      </c>
      <c r="F13" s="5">
        <v>1.1795355999999999</v>
      </c>
      <c r="G13" s="10"/>
    </row>
    <row r="14" spans="1:7" ht="15.4" x14ac:dyDescent="0.45">
      <c r="A14" s="8" t="s">
        <v>48</v>
      </c>
      <c r="B14" t="str">
        <f>ROUND(E14, 2)&amp;" ("&amp;ROUND(F14, 2)&amp;")"</f>
        <v>2.04 (1.17)</v>
      </c>
      <c r="C14" s="7" t="s">
        <v>42</v>
      </c>
      <c r="D14" s="7" t="s">
        <v>45</v>
      </c>
      <c r="E14" s="5">
        <v>2.035714</v>
      </c>
      <c r="F14" s="5">
        <v>1.1700630999999999</v>
      </c>
      <c r="G14" s="10"/>
    </row>
    <row r="15" spans="1:7" ht="15.4" x14ac:dyDescent="0.45">
      <c r="A15" s="8" t="s">
        <v>49</v>
      </c>
      <c r="B15" t="str">
        <f>ROUND(E15, 2)&amp;" ("&amp;ROUND(F15, 2)&amp;")"</f>
        <v>2.41 (0.89)</v>
      </c>
      <c r="C15" s="7" t="s">
        <v>44</v>
      </c>
      <c r="D15" s="7" t="s">
        <v>45</v>
      </c>
      <c r="E15" s="5">
        <v>2.4074070000000001</v>
      </c>
      <c r="F15" s="5">
        <v>0.88835450000000005</v>
      </c>
      <c r="G15" s="10"/>
    </row>
  </sheetData>
  <mergeCells count="1">
    <mergeCell ref="E4:E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D78B6-0CAE-47FF-8A89-FEDCA7AE496A}">
  <dimension ref="A1:G15"/>
  <sheetViews>
    <sheetView topLeftCell="A4" zoomScale="145" zoomScaleNormal="145" workbookViewId="0">
      <selection activeCell="B12" sqref="B12:B15"/>
    </sheetView>
  </sheetViews>
  <sheetFormatPr defaultRowHeight="14.25" x14ac:dyDescent="0.45"/>
  <cols>
    <col min="1" max="1" width="29.53125" customWidth="1"/>
  </cols>
  <sheetData>
    <row r="1" spans="1:7" ht="14.65" thickBot="1" x14ac:dyDescent="0.5">
      <c r="A1" s="9" t="s">
        <v>58</v>
      </c>
    </row>
    <row r="2" spans="1:7" ht="14.65" thickBot="1" x14ac:dyDescent="0.5">
      <c r="A2" s="9" t="s">
        <v>59</v>
      </c>
    </row>
    <row r="3" spans="1:7" x14ac:dyDescent="0.45">
      <c r="A3" s="10"/>
    </row>
    <row r="4" spans="1:7" x14ac:dyDescent="0.45">
      <c r="A4" s="4" t="s">
        <v>8</v>
      </c>
      <c r="B4" s="4" t="s">
        <v>9</v>
      </c>
      <c r="C4" s="4" t="s">
        <v>38</v>
      </c>
      <c r="D4" s="4" t="s">
        <v>40</v>
      </c>
      <c r="E4" s="19"/>
    </row>
    <row r="5" spans="1:7" x14ac:dyDescent="0.45">
      <c r="A5" s="5" t="s">
        <v>37</v>
      </c>
      <c r="B5" s="5" t="s">
        <v>37</v>
      </c>
      <c r="C5" s="5" t="s">
        <v>39</v>
      </c>
      <c r="D5" s="5" t="s">
        <v>39</v>
      </c>
      <c r="E5" s="19"/>
    </row>
    <row r="7" spans="1:7" x14ac:dyDescent="0.45">
      <c r="E7" s="10"/>
    </row>
    <row r="8" spans="1:7" x14ac:dyDescent="0.45">
      <c r="E8" s="10"/>
    </row>
    <row r="9" spans="1:7" x14ac:dyDescent="0.45">
      <c r="E9" s="10"/>
    </row>
    <row r="10" spans="1:7" x14ac:dyDescent="0.45">
      <c r="A10" s="6" t="s">
        <v>41</v>
      </c>
    </row>
    <row r="12" spans="1:7" ht="15.4" x14ac:dyDescent="0.45">
      <c r="A12" s="8" t="s">
        <v>46</v>
      </c>
      <c r="B12" t="str">
        <f>ROUND(E12, 2)&amp;" ("&amp;ROUND(F12, 2)&amp;")"</f>
        <v>1.6 (1.04)</v>
      </c>
      <c r="C12" s="7" t="s">
        <v>42</v>
      </c>
      <c r="D12" s="7" t="s">
        <v>43</v>
      </c>
      <c r="E12" s="5">
        <v>1.6</v>
      </c>
      <c r="F12" s="5">
        <v>1.0408329999999999</v>
      </c>
      <c r="G12" s="10"/>
    </row>
    <row r="13" spans="1:7" ht="15.4" x14ac:dyDescent="0.45">
      <c r="A13" s="8" t="s">
        <v>47</v>
      </c>
      <c r="B13" t="str">
        <f>ROUND(E13, 2)&amp;" ("&amp;ROUND(F13, 2)&amp;")"</f>
        <v>1.83 (1.05)</v>
      </c>
      <c r="C13" s="7" t="s">
        <v>44</v>
      </c>
      <c r="D13" s="7" t="s">
        <v>43</v>
      </c>
      <c r="E13" s="5">
        <v>1.8333330000000001</v>
      </c>
      <c r="F13" s="5">
        <v>1.0494995</v>
      </c>
    </row>
    <row r="14" spans="1:7" ht="15.4" x14ac:dyDescent="0.45">
      <c r="A14" s="8" t="s">
        <v>48</v>
      </c>
      <c r="B14" t="str">
        <f>ROUND(E14, 2)&amp;" ("&amp;ROUND(F14, 2)&amp;")"</f>
        <v>2.07 (1.02)</v>
      </c>
      <c r="C14" s="7" t="s">
        <v>42</v>
      </c>
      <c r="D14" s="7" t="s">
        <v>45</v>
      </c>
      <c r="E14" s="5">
        <v>2.0714290000000002</v>
      </c>
      <c r="F14" s="5">
        <v>1.015749</v>
      </c>
    </row>
    <row r="15" spans="1:7" ht="15.4" x14ac:dyDescent="0.45">
      <c r="A15" s="8" t="s">
        <v>49</v>
      </c>
      <c r="B15" t="str">
        <f>ROUND(E15, 2)&amp;" ("&amp;ROUND(F15, 2)&amp;")"</f>
        <v>1.89 (0.89)</v>
      </c>
      <c r="C15" s="7" t="s">
        <v>44</v>
      </c>
      <c r="D15" s="7" t="s">
        <v>45</v>
      </c>
      <c r="E15" s="5">
        <v>1.888889</v>
      </c>
      <c r="F15" s="5">
        <v>0.89155580000000001</v>
      </c>
    </row>
  </sheetData>
  <mergeCells count="1">
    <mergeCell ref="E4:E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C4322-E8F7-4681-B4D0-D679D124C77B}">
  <dimension ref="A1:I18"/>
  <sheetViews>
    <sheetView tabSelected="1" workbookViewId="0">
      <selection activeCell="G16" sqref="G3:G16"/>
    </sheetView>
  </sheetViews>
  <sheetFormatPr defaultColWidth="40.796875" defaultRowHeight="14.25" x14ac:dyDescent="0.45"/>
  <cols>
    <col min="2" max="6" width="8.796875" customWidth="1"/>
    <col min="7" max="7" width="30.796875" customWidth="1"/>
    <col min="8" max="9" width="21.9296875" customWidth="1"/>
    <col min="10" max="10" width="22" customWidth="1"/>
  </cols>
  <sheetData>
    <row r="1" spans="1:9" ht="15.4" x14ac:dyDescent="0.45">
      <c r="A1" s="20" t="s">
        <v>0</v>
      </c>
      <c r="B1" s="22" t="s">
        <v>1</v>
      </c>
      <c r="C1" s="24" t="s">
        <v>2</v>
      </c>
      <c r="D1" s="22" t="s">
        <v>60</v>
      </c>
      <c r="E1" s="24" t="s">
        <v>4</v>
      </c>
      <c r="F1" s="22" t="s">
        <v>61</v>
      </c>
      <c r="G1" s="14"/>
      <c r="H1" t="s">
        <v>81</v>
      </c>
      <c r="I1" t="s">
        <v>82</v>
      </c>
    </row>
    <row r="2" spans="1:9" ht="15.75" thickBot="1" x14ac:dyDescent="0.5">
      <c r="A2" s="21"/>
      <c r="B2" s="23"/>
      <c r="C2" s="25"/>
      <c r="D2" s="23"/>
      <c r="E2" s="25"/>
      <c r="F2" s="23"/>
      <c r="G2" s="14"/>
      <c r="H2" t="s">
        <v>79</v>
      </c>
      <c r="I2" t="s">
        <v>80</v>
      </c>
    </row>
    <row r="3" spans="1:9" ht="15.4" x14ac:dyDescent="0.45">
      <c r="A3" s="13" t="s">
        <v>62</v>
      </c>
      <c r="B3" s="15">
        <v>0.44</v>
      </c>
      <c r="C3" s="15">
        <v>0.24</v>
      </c>
      <c r="D3" s="15">
        <v>3.54</v>
      </c>
      <c r="E3" s="15">
        <v>0.06</v>
      </c>
      <c r="F3" s="15">
        <v>1.56</v>
      </c>
      <c r="G3" s="15" t="str">
        <f>F3&amp;" ["&amp;ROUND(H3,2)&amp;", "&amp;ROUND(I3,2)&amp;"]"</f>
        <v>1.56 [0.97, 2.49]</v>
      </c>
      <c r="H3" s="17">
        <f>EXP(B3-1.96*C3)</f>
        <v>0.97005743296038105</v>
      </c>
      <c r="I3" s="18">
        <f>EXP(B3+1.96*C3)</f>
        <v>2.4853164611704752</v>
      </c>
    </row>
    <row r="4" spans="1:9" ht="15.4" x14ac:dyDescent="0.45">
      <c r="A4" s="13" t="s">
        <v>63</v>
      </c>
      <c r="B4" s="14"/>
      <c r="C4" s="14"/>
      <c r="D4" s="14"/>
      <c r="E4" s="14"/>
      <c r="F4" s="14"/>
      <c r="G4" s="15"/>
      <c r="H4" s="17"/>
      <c r="I4" s="18">
        <f>EXP(B4+1.96*C4)</f>
        <v>1</v>
      </c>
    </row>
    <row r="5" spans="1:9" ht="15.4" x14ac:dyDescent="0.45">
      <c r="A5" s="13" t="s">
        <v>64</v>
      </c>
      <c r="B5" s="15">
        <v>0.04</v>
      </c>
      <c r="C5" s="15">
        <v>0.11</v>
      </c>
      <c r="D5" s="15">
        <v>0.13</v>
      </c>
      <c r="E5" s="15">
        <v>0.72</v>
      </c>
      <c r="F5" s="15">
        <v>1.04</v>
      </c>
      <c r="G5" s="15" t="str">
        <f t="shared" ref="G5:G16" si="0">F5&amp;" ["&amp;ROUND(H5,2)&amp;", "&amp;ROUND(I5,2)&amp;"]"</f>
        <v>1.04 [0.84, 1.29]</v>
      </c>
      <c r="H5" s="17">
        <f>EXP(B5-1.96*C5)</f>
        <v>0.83895349762879368</v>
      </c>
      <c r="I5" s="18">
        <f>EXP(B5+1.96*C5)</f>
        <v>1.2912361301749691</v>
      </c>
    </row>
    <row r="6" spans="1:9" ht="15.4" x14ac:dyDescent="0.45">
      <c r="A6" s="13" t="s">
        <v>65</v>
      </c>
      <c r="B6" s="15">
        <v>0.38</v>
      </c>
      <c r="C6" s="15">
        <v>0.08</v>
      </c>
      <c r="D6" s="15" t="s">
        <v>66</v>
      </c>
      <c r="E6" s="15">
        <v>0.01</v>
      </c>
      <c r="F6" s="15">
        <v>1.46</v>
      </c>
      <c r="G6" s="15" t="str">
        <f t="shared" si="0"/>
        <v>1.46 [1.25, 1.71]</v>
      </c>
      <c r="H6" s="17">
        <f>EXP(B6-1.96*C6)</f>
        <v>1.2500705628488091</v>
      </c>
      <c r="I6" s="18">
        <f>EXP(B6+1.96*C6)</f>
        <v>1.7105244168168083</v>
      </c>
    </row>
    <row r="7" spans="1:9" ht="15.4" x14ac:dyDescent="0.45">
      <c r="A7" s="13" t="s">
        <v>67</v>
      </c>
      <c r="B7" s="15">
        <v>-0.2</v>
      </c>
      <c r="C7" s="15">
        <v>0.13</v>
      </c>
      <c r="D7" s="15">
        <v>2.39</v>
      </c>
      <c r="E7" s="15">
        <v>0.8</v>
      </c>
      <c r="F7" s="15">
        <v>0.82</v>
      </c>
      <c r="G7" s="15" t="str">
        <f t="shared" si="0"/>
        <v>0.82 [0.63, 1.06]</v>
      </c>
      <c r="H7" s="17">
        <f>EXP(B7-1.96*C7)</f>
        <v>0.63457487023162318</v>
      </c>
      <c r="I7" s="18">
        <f>EXP(B7+1.96*C7)</f>
        <v>1.0563293276819627</v>
      </c>
    </row>
    <row r="8" spans="1:9" ht="15.4" x14ac:dyDescent="0.45">
      <c r="A8" s="13" t="s">
        <v>68</v>
      </c>
      <c r="B8" s="14"/>
      <c r="C8" s="14"/>
      <c r="D8" s="14"/>
      <c r="E8" s="14"/>
      <c r="F8" s="14"/>
      <c r="G8" s="15"/>
      <c r="H8" s="17"/>
      <c r="I8" s="18"/>
    </row>
    <row r="9" spans="1:9" ht="15.4" x14ac:dyDescent="0.45">
      <c r="A9" s="13" t="s">
        <v>69</v>
      </c>
      <c r="B9" s="15">
        <v>-0.15</v>
      </c>
      <c r="C9" s="15">
        <v>0.05</v>
      </c>
      <c r="D9" s="15">
        <v>9.09</v>
      </c>
      <c r="E9" s="15">
        <v>0.01</v>
      </c>
      <c r="F9" s="15">
        <v>0.86</v>
      </c>
      <c r="G9" s="15" t="str">
        <f t="shared" si="0"/>
        <v>0.86 [0.78, 0.95]</v>
      </c>
      <c r="H9" s="17">
        <f>EXP(B9-1.96*C9)</f>
        <v>0.78035994327803426</v>
      </c>
      <c r="I9" s="18">
        <f>EXP(B9+1.96*C9)</f>
        <v>0.94932886684288964</v>
      </c>
    </row>
    <row r="10" spans="1:9" ht="15.4" x14ac:dyDescent="0.45">
      <c r="A10" s="13" t="s">
        <v>70</v>
      </c>
      <c r="B10" s="15">
        <v>-0.33</v>
      </c>
      <c r="C10" s="15">
        <v>0.08</v>
      </c>
      <c r="D10" s="15">
        <v>16.72</v>
      </c>
      <c r="E10" s="15">
        <v>0.01</v>
      </c>
      <c r="F10" s="15">
        <v>0.72</v>
      </c>
      <c r="G10" s="15" t="str">
        <f t="shared" si="0"/>
        <v>0.72 [0.61, 0.84]</v>
      </c>
      <c r="H10" s="17">
        <f>EXP(B10-1.96*C10)</f>
        <v>0.61458993864137967</v>
      </c>
      <c r="I10" s="18">
        <f>EXP(B10+1.96*C10)</f>
        <v>0.84096940414328514</v>
      </c>
    </row>
    <row r="11" spans="1:9" ht="15.4" x14ac:dyDescent="0.45">
      <c r="A11" s="13" t="s">
        <v>71</v>
      </c>
      <c r="B11" s="15">
        <v>0.02</v>
      </c>
      <c r="C11" s="15">
        <v>0.09</v>
      </c>
      <c r="D11" s="15">
        <v>7.0000000000000007E-2</v>
      </c>
      <c r="E11" s="15">
        <v>0.8</v>
      </c>
      <c r="F11" s="15">
        <v>1.02</v>
      </c>
      <c r="G11" s="15" t="str">
        <f t="shared" si="0"/>
        <v>1.02 [0.86, 1.22]</v>
      </c>
      <c r="H11" s="17">
        <f>EXP(B11-1.96*C11)</f>
        <v>0.8552170351304802</v>
      </c>
      <c r="I11" s="18">
        <f>EXP(B11+1.96*C11)</f>
        <v>1.2170136134315799</v>
      </c>
    </row>
    <row r="12" spans="1:9" ht="15.4" x14ac:dyDescent="0.45">
      <c r="A12" s="13" t="s">
        <v>72</v>
      </c>
      <c r="B12" s="14"/>
      <c r="C12" s="14"/>
      <c r="D12" s="14"/>
      <c r="E12" s="14"/>
      <c r="F12" s="14"/>
      <c r="G12" s="15"/>
      <c r="H12" s="17"/>
      <c r="I12" s="18"/>
    </row>
    <row r="13" spans="1:9" ht="15.4" x14ac:dyDescent="0.45">
      <c r="A13" s="13" t="s">
        <v>73</v>
      </c>
      <c r="B13" s="15">
        <v>-0.01</v>
      </c>
      <c r="C13" s="15">
        <v>0.01</v>
      </c>
      <c r="D13" s="15">
        <v>1.2</v>
      </c>
      <c r="E13" s="15">
        <v>0.27</v>
      </c>
      <c r="F13" s="15">
        <v>0.99</v>
      </c>
      <c r="G13" s="15" t="str">
        <f t="shared" si="0"/>
        <v>0.99 [0.97, 1.01]</v>
      </c>
      <c r="H13" s="17">
        <f>EXP(B13-1.96*C13)</f>
        <v>0.97083378940792275</v>
      </c>
      <c r="I13" s="18">
        <f>EXP(B13+1.96*C13)</f>
        <v>1.0096462278105749</v>
      </c>
    </row>
    <row r="14" spans="1:9" ht="15.4" x14ac:dyDescent="0.45">
      <c r="A14" s="13" t="s">
        <v>74</v>
      </c>
      <c r="B14" s="15">
        <v>-0.2</v>
      </c>
      <c r="C14" s="15">
        <v>7.0000000000000007E-2</v>
      </c>
      <c r="D14" s="15">
        <v>7.15</v>
      </c>
      <c r="E14" s="15">
        <v>0.01</v>
      </c>
      <c r="F14" s="15">
        <v>0.82</v>
      </c>
      <c r="G14" s="15" t="str">
        <f t="shared" si="0"/>
        <v>0.82 [0.71, 0.94]</v>
      </c>
      <c r="H14" s="17">
        <f>EXP(B14-1.96*C14)</f>
        <v>0.71376607241196444</v>
      </c>
      <c r="I14" s="18">
        <f>EXP(B14+1.96*C14)</f>
        <v>0.93913128116399258</v>
      </c>
    </row>
    <row r="15" spans="1:9" ht="15.4" x14ac:dyDescent="0.45">
      <c r="A15" s="13" t="s">
        <v>75</v>
      </c>
      <c r="B15" s="15">
        <v>0.16</v>
      </c>
      <c r="C15" s="15">
        <v>0.05</v>
      </c>
      <c r="D15" s="15">
        <v>10.08</v>
      </c>
      <c r="E15" s="15">
        <v>0.01</v>
      </c>
      <c r="F15" s="15">
        <v>1.18</v>
      </c>
      <c r="G15" s="15" t="str">
        <f t="shared" si="0"/>
        <v>1.18 [1.06, 1.29]</v>
      </c>
      <c r="H15" s="17">
        <f>EXP(B15-1.96*C15)</f>
        <v>1.0639623447280337</v>
      </c>
      <c r="I15" s="18">
        <f>EXP(B15+1.96*C15)</f>
        <v>1.2943388186242377</v>
      </c>
    </row>
    <row r="16" spans="1:9" ht="15.4" x14ac:dyDescent="0.45">
      <c r="A16" s="13" t="s">
        <v>76</v>
      </c>
      <c r="B16" s="15">
        <v>-0.05</v>
      </c>
      <c r="C16" s="15">
        <v>0.04</v>
      </c>
      <c r="D16" s="15">
        <v>2.14</v>
      </c>
      <c r="E16" s="15">
        <v>0.14000000000000001</v>
      </c>
      <c r="F16" s="15">
        <v>0.95</v>
      </c>
      <c r="G16" s="15" t="str">
        <f t="shared" si="0"/>
        <v>0.95 [0.88, 1.03]</v>
      </c>
      <c r="H16" s="17">
        <f>EXP(B16-1.96*C16)</f>
        <v>0.87950150817187212</v>
      </c>
      <c r="I16" s="18">
        <f>EXP(B16+1.96*C16)</f>
        <v>1.028807124977819</v>
      </c>
    </row>
    <row r="17" spans="1:1" x14ac:dyDescent="0.45">
      <c r="A17" s="16" t="s">
        <v>77</v>
      </c>
    </row>
    <row r="18" spans="1:1" x14ac:dyDescent="0.45">
      <c r="A18" s="16" t="s">
        <v>78</v>
      </c>
    </row>
  </sheetData>
  <mergeCells count="6">
    <mergeCell ref="F1:F2"/>
    <mergeCell ref="A1:A2"/>
    <mergeCell ref="B1:B2"/>
    <mergeCell ref="C1:C2"/>
    <mergeCell ref="D1:D2"/>
    <mergeCell ref="E1:E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Sheet2</vt:lpstr>
      <vt:lpstr>Sheet3</vt:lpstr>
      <vt:lpstr>Sheet4</vt:lpstr>
      <vt:lpstr>Sheet5</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Stegall-Rodriguez</dc:creator>
  <cp:lastModifiedBy>Sarah Stegall-Rodriguez</cp:lastModifiedBy>
  <dcterms:created xsi:type="dcterms:W3CDTF">2025-11-18T22:19:27Z</dcterms:created>
  <dcterms:modified xsi:type="dcterms:W3CDTF">2025-11-20T15:23:27Z</dcterms:modified>
</cp:coreProperties>
</file>